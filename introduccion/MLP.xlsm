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agudeloz/Documents/UTP/20201/softcomp/MLP/"/>
    </mc:Choice>
  </mc:AlternateContent>
  <xr:revisionPtr revIDLastSave="0" documentId="13_ncr:1_{AB150A17-BFAA-E647-8816-CBC7EA401045}" xr6:coauthVersionLast="46" xr6:coauthVersionMax="46" xr10:uidLastSave="{00000000-0000-0000-0000-000000000000}"/>
  <bookViews>
    <workbookView xWindow="0" yWindow="500" windowWidth="28800" windowHeight="17500" xr2:uid="{6426CA3E-7E1C-CC48-961A-0A5308B16F35}"/>
  </bookViews>
  <sheets>
    <sheet name="Hoja1" sheetId="1" r:id="rId1"/>
  </sheets>
  <functionGroups builtInGroupCount="19"/>
  <definedNames>
    <definedName name="b1_">Hoja1!$P$6</definedName>
    <definedName name="b2_">Hoja1!$P$9</definedName>
    <definedName name="b3_">Hoja1!$P$15</definedName>
    <definedName name="solver_adj" localSheetId="0" hidden="1">Hoja1!$N$6,Hoja1!$O$6,Hoja1!$P$6,Hoja1!$N$9,Hoja1!$O$9,Hoja1!$P$9,Hoja1!$N$12,Hoja1!$O$12,Hoja1!$N$15,Hoja1!$O$15,Hoja1!$P$15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opt" localSheetId="0" hidden="1">Hoja1!$J$1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1" l="1"/>
  <c r="I12" i="1" s="1"/>
  <c r="C13" i="1"/>
  <c r="I13" i="1" s="1"/>
  <c r="C14" i="1"/>
  <c r="I14" i="1" s="1"/>
  <c r="C15" i="1"/>
  <c r="I15" i="1" s="1"/>
  <c r="C16" i="1"/>
  <c r="I16" i="1" s="1"/>
  <c r="C17" i="1"/>
  <c r="I17" i="1" s="1"/>
  <c r="C18" i="1"/>
  <c r="I18" i="1" s="1"/>
  <c r="C19" i="1"/>
  <c r="I19" i="1" s="1"/>
  <c r="C20" i="1"/>
  <c r="I20" i="1" s="1"/>
  <c r="C11" i="1"/>
  <c r="I11" i="1" s="1"/>
  <c r="C3" i="1"/>
  <c r="C4" i="1"/>
  <c r="C5" i="1"/>
  <c r="C6" i="1"/>
  <c r="C2" i="1"/>
  <c r="E15" i="1" a="1"/>
  <c r="E17" i="1" a="1"/>
  <c r="E12" i="1" a="1"/>
  <c r="E2" i="1" a="1"/>
  <c r="E6" i="1" a="1"/>
  <c r="E11" i="1" a="1"/>
  <c r="E14" i="1" a="1"/>
  <c r="E13" i="1" a="1"/>
  <c r="E4" i="1" a="1"/>
  <c r="E19" i="1" a="1"/>
  <c r="E16" i="1" a="1"/>
  <c r="E5" i="1" a="1"/>
  <c r="E20" i="1" a="1"/>
  <c r="E18" i="1" a="1"/>
  <c r="E3" i="1" a="1"/>
  <c r="D2" i="1" a="1"/>
  <c r="D14" i="1" a="1"/>
  <c r="D4" i="1" a="1"/>
  <c r="D18" i="1" a="1"/>
  <c r="D3" i="1" a="1"/>
  <c r="D17" i="1" a="1"/>
  <c r="D16" i="1" a="1"/>
  <c r="D5" i="1" a="1"/>
  <c r="D20" i="1" a="1"/>
  <c r="D15" i="1" a="1"/>
  <c r="D6" i="1" a="1"/>
  <c r="D13" i="1" a="1"/>
  <c r="D19" i="1" a="1"/>
  <c r="D12" i="1" a="1"/>
  <c r="D11" i="1" a="1"/>
  <c r="E19" i="1" l="1"/>
  <c r="E17" i="1"/>
  <c r="E15" i="1"/>
  <c r="E13" i="1"/>
  <c r="E20" i="1"/>
  <c r="E18" i="1"/>
  <c r="E16" i="1"/>
  <c r="E14" i="1"/>
  <c r="E12" i="1"/>
  <c r="D19" i="1"/>
  <c r="D17" i="1"/>
  <c r="D15" i="1"/>
  <c r="D13" i="1"/>
  <c r="D20" i="1"/>
  <c r="D18" i="1"/>
  <c r="D16" i="1"/>
  <c r="D14" i="1"/>
  <c r="D12" i="1"/>
  <c r="E11" i="1"/>
  <c r="D11" i="1"/>
  <c r="E4" i="1"/>
  <c r="E6" i="1"/>
  <c r="E5" i="1"/>
  <c r="E3" i="1"/>
  <c r="E2" i="1"/>
  <c r="D3" i="1"/>
  <c r="D5" i="1"/>
  <c r="D4" i="1"/>
  <c r="D6" i="1"/>
  <c r="D2" i="1"/>
  <c r="F3" i="1" a="1"/>
  <c r="F5" i="1" a="1"/>
  <c r="F6" i="1" a="1"/>
  <c r="F2" i="1" a="1"/>
  <c r="G5" i="1" a="1"/>
  <c r="G3" i="1" a="1"/>
  <c r="G4" i="1" a="1"/>
  <c r="G6" i="1" a="1"/>
  <c r="G4" i="1" l="1"/>
  <c r="G5" i="1"/>
  <c r="F5" i="1"/>
  <c r="F2" i="1"/>
  <c r="G3" i="1"/>
  <c r="F3" i="1"/>
  <c r="G6" i="1"/>
  <c r="F6" i="1"/>
  <c r="F4" i="1" a="1"/>
  <c r="G14" i="1" a="1"/>
  <c r="F15" i="1" a="1"/>
  <c r="G19" i="1" a="1"/>
  <c r="F11" i="1" a="1"/>
  <c r="F12" i="1" a="1"/>
  <c r="G18" i="1" a="1"/>
  <c r="F18" i="1" a="1"/>
  <c r="G15" i="1" a="1"/>
  <c r="F20" i="1" a="1"/>
  <c r="G12" i="1" a="1"/>
  <c r="F14" i="1" a="1"/>
  <c r="G20" i="1" a="1"/>
  <c r="F16" i="1" a="1"/>
  <c r="G11" i="1" a="1"/>
  <c r="F13" i="1" a="1"/>
  <c r="G13" i="1" a="1"/>
  <c r="G2" i="1" a="1"/>
  <c r="G16" i="1" a="1"/>
  <c r="F17" i="1" a="1"/>
  <c r="F19" i="1" a="1"/>
  <c r="G17" i="1" a="1"/>
  <c r="G18" i="1" l="1"/>
  <c r="F12" i="1"/>
  <c r="F14" i="1"/>
  <c r="F17" i="1"/>
  <c r="G13" i="1"/>
  <c r="G17" i="1"/>
  <c r="G15" i="1"/>
  <c r="F13" i="1"/>
  <c r="H13" i="1" s="1"/>
  <c r="G19" i="1"/>
  <c r="G12" i="1"/>
  <c r="G16" i="1"/>
  <c r="F15" i="1"/>
  <c r="H15" i="1" s="1"/>
  <c r="F19" i="1"/>
  <c r="H19" i="1" s="1"/>
  <c r="F18" i="1"/>
  <c r="F16" i="1"/>
  <c r="H16" i="1" s="1"/>
  <c r="G14" i="1"/>
  <c r="F20" i="1"/>
  <c r="G2" i="1"/>
  <c r="H2" i="1" s="1"/>
  <c r="G20" i="1"/>
  <c r="F4" i="1"/>
  <c r="H4" i="1" s="1"/>
  <c r="G11" i="1"/>
  <c r="F11" i="1"/>
  <c r="H6" i="1"/>
  <c r="H3" i="1"/>
  <c r="H5" i="1"/>
  <c r="H11" i="1" l="1"/>
  <c r="H18" i="1"/>
  <c r="H17" i="1"/>
  <c r="H14" i="1"/>
  <c r="H12" i="1"/>
  <c r="H20" i="1"/>
  <c r="J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<sst xmlns="http://schemas.openxmlformats.org/spreadsheetml/2006/main" count="21" uniqueCount="21">
  <si>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Entrada en grados</t>
  </si>
  <si>
    <t>Angulo en radianes</t>
  </si>
  <si>
    <t>w1</t>
  </si>
  <si>
    <t>w2</t>
  </si>
  <si>
    <t>w3</t>
  </si>
  <si>
    <t>w4</t>
  </si>
  <si>
    <t>w5</t>
  </si>
  <si>
    <t>w6</t>
  </si>
  <si>
    <t>w7</t>
  </si>
  <si>
    <t>w8</t>
  </si>
  <si>
    <t>b1</t>
  </si>
  <si>
    <t>b2</t>
  </si>
  <si>
    <t>b3</t>
  </si>
  <si>
    <t>n1h1</t>
  </si>
  <si>
    <t>n2h1</t>
  </si>
  <si>
    <t>n1h2</t>
  </si>
  <si>
    <t>n2h2</t>
  </si>
  <si>
    <t>Salida de la red</t>
  </si>
  <si>
    <t>Objetivo</t>
  </si>
  <si>
    <t>Sin</t>
  </si>
  <si>
    <t>MLP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</si>
</sst>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" vertical="center" wrapText="1"/>
    </xf>
    <xf numFmtId="0" fontId="0" fillId="2" borderId="0" xfId="0" applyFill="1"/>
    <xf numFmtId="0" fontId="0" fillId="3" borderId="0" xfId="0" applyFill="1"/>
    <xf numFmtId="0" fontId="0" fillId="0" borderId="0" xfId="0" applyFill="1"/>
    <xf numFmtId="0" fontId="0" fillId="4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_tradnl"/>
              <a:t>Comparativo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Hoja1!$H$10</c:f>
              <c:strCache>
                <c:ptCount val="1"/>
                <c:pt idx="0">
                  <c:v>MLP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Hoja1!$A$11:$A$20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Hoja1!$H$11:$H$20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3-6B42-8C83-8DB46B429E9C}"/>
            </c:ext>
          </c:extLst>
        </c:ser>
        <c:ser>
          <c:idx val="1"/>
          <c:order val="1"/>
          <c:tx>
            <c:strRef>
              <c:f>Hoja1!$I$10</c:f>
              <c:strCache>
                <c:ptCount val="1"/>
                <c:pt idx="0">
                  <c:v>Sin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Hoja1!$A$11:$A$20</c:f>
              <c:numCache>
                <c:formatCode>General</c:formatCode>
                <c:ptCount val="10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</c:numCache>
            </c:numRef>
          </c:cat>
          <c:val>
            <c:numRef>
              <c:f>Hoja1!$I$11:$I$20</c:f>
              <c:numCache>
                <c:formatCode>General</c:formatCode>
                <c:ptCount val="10"/>
                <c:pt idx="0">
                  <c:v>0</c:v>
                </c:pt>
                <c:pt idx="1">
                  <c:v>0.17364817766693033</c:v>
                </c:pt>
                <c:pt idx="2">
                  <c:v>0.34202014332566871</c:v>
                </c:pt>
                <c:pt idx="3">
                  <c:v>0.49999999999999994</c:v>
                </c:pt>
                <c:pt idx="4">
                  <c:v>0.64278760968653925</c:v>
                </c:pt>
                <c:pt idx="5">
                  <c:v>0.76604444311897801</c:v>
                </c:pt>
                <c:pt idx="6">
                  <c:v>0.8660254037844386</c:v>
                </c:pt>
                <c:pt idx="7">
                  <c:v>0.93969262078590832</c:v>
                </c:pt>
                <c:pt idx="8">
                  <c:v>0.98480775301220802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3-6B42-8C83-8DB46B429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213040"/>
        <c:axId val="95265936"/>
      </c:lineChart>
      <c:catAx>
        <c:axId val="9521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5265936"/>
        <c:crosses val="autoZero"/>
        <c:auto val="1"/>
        <c:lblAlgn val="ctr"/>
        <c:lblOffset val="100"/>
        <c:noMultiLvlLbl val="0"/>
      </c:catAx>
      <c:valAx>
        <c:axId val="9526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5213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344714</xdr:colOff>
      <xdr:row>21</xdr:row>
      <xdr:rowOff>193222</xdr:rowOff>
    </xdr:from>
    <xdr:to>
      <xdr:col>7</xdr:col>
      <xdr:colOff>127000</xdr:colOff>
      <xdr:row>39</xdr:row>
      <xdr:rowOff>127000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35346DCD-B397-8140-B2D9-6DB9989490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314AB-DE04-A44E-8286-848B2FC2B776}">
  <sheetPr codeName="Hoja1"/>
  <dimension ref="A1:P20"/>
  <sheetViews>
    <sheetView tabSelected="1" topLeftCell="F1" zoomScale="140" zoomScaleNormal="140" workbookViewId="0">
      <selection activeCell="O6" sqref="O6"/>
    </sheetView>
  </sheetViews>
  <sheetFormatPr baseColWidth="10" defaultRowHeight="16" x14ac:dyDescent="0.2"/>
  <cols>
    <col min="8" max="8" width="16.6640625" customWidth="1"/>
  </cols>
  <sheetData>
    <row r="1" spans="1:16" ht="34" x14ac:dyDescent="0.2">
      <c r="A1" s="1" t="s">
        <v>0</v>
      </c>
      <c r="B1" s="4" t="s">
        <v>18</v>
      </c>
      <c r="C1" s="1" t="s">
        <v>1</v>
      </c>
      <c r="D1" s="2" t="s">
        <v>13</v>
      </c>
      <c r="E1" s="4" t="s">
        <v>14</v>
      </c>
      <c r="F1" s="4" t="s">
        <v>15</v>
      </c>
      <c r="G1" s="2" t="s">
        <v>16</v>
      </c>
      <c r="H1" s="4" t="s">
        <v>17</v>
      </c>
      <c r="J1" s="8">
        <f>SUMXMY2(B2:B6,H2:H6)</f>
        <v>2.4998049999999998</v>
      </c>
    </row>
    <row r="2" spans="1:16" x14ac:dyDescent="0.2">
      <c r="A2">
        <v>0</v>
      </c>
      <c r="B2" s="5">
        <v>0</v>
      </c>
      <c r="C2" s="7">
        <f>RADIANS(A2)</f>
        <v>0</v>
      </c>
      <c r="D2" cm="1">
        <f t="array" ref="D2">SIgmoid(C2*N$6-b1_)</f>
        <v>0.5</v>
      </c>
      <c r="E2" cm="1">
        <f t="array" ref="E2">SIgmoid(C2*O$6-b1_)</f>
        <v>0.5</v>
      </c>
      <c r="F2" cm="1">
        <f t="array" ref="F2">SIgmoid(SUMPRODUCT(D2:E2,N$9:O$9)-b2_)</f>
        <v>0.5</v>
      </c>
      <c r="G2" cm="1">
        <f t="array" ref="G2">SIgmoid(SUMPRODUCT(D2:E2,N$12:O$12)-b2_)</f>
        <v>0.5</v>
      </c>
      <c r="H2" s="6">
        <f>SUMPRODUCT(F2:G2,N$15:O$15)-b3_</f>
        <v>0</v>
      </c>
    </row>
    <row r="3" spans="1:16" x14ac:dyDescent="0.2">
      <c r="A3">
        <v>30</v>
      </c>
      <c r="B3" s="5">
        <v>0.5</v>
      </c>
      <c r="C3" s="7">
        <f t="shared" ref="C3:C6" si="0">RADIANS(A3)</f>
        <v>0.52359877559829882</v>
      </c>
      <c r="D3" cm="1">
        <f t="array" ref="D3">SIgmoid(C3*N$6-b1_)</f>
        <v>0.5</v>
      </c>
      <c r="E3" cm="1">
        <f t="array" ref="E3">SIgmoid(C3*O$6-b1_)</f>
        <v>0.5</v>
      </c>
      <c r="F3" cm="1">
        <f t="array" ref="F3">SIgmoid(SUMPRODUCT(D3:E3,N$9:O$9)-b2_)</f>
        <v>0.5</v>
      </c>
      <c r="G3" cm="1">
        <f t="array" ref="G3">SIgmoid(SUMPRODUCT(D3:E3,N$12:O$12)-b2_)</f>
        <v>0.5</v>
      </c>
      <c r="H3" s="6">
        <f>SUMPRODUCT(F3:G3,N$15:O$15)-b3_</f>
        <v>0</v>
      </c>
    </row>
    <row r="4" spans="1:16" x14ac:dyDescent="0.2">
      <c r="A4">
        <v>45</v>
      </c>
      <c r="B4" s="5">
        <v>0.70699999999999996</v>
      </c>
      <c r="C4" s="7">
        <f t="shared" si="0"/>
        <v>0.78539816339744828</v>
      </c>
      <c r="D4" cm="1">
        <f t="array" ref="D4">SIgmoid(C4*N$6-b1_)</f>
        <v>0.5</v>
      </c>
      <c r="E4" cm="1">
        <f t="array" ref="E4">SIgmoid(C4*O$6-b1_)</f>
        <v>0.5</v>
      </c>
      <c r="F4" cm="1">
        <f t="array" ref="F4">SIgmoid(SUMPRODUCT(D4:E4,N$9:O$9)-b2_)</f>
        <v>0.5</v>
      </c>
      <c r="G4" cm="1">
        <f t="array" ref="G4">SIgmoid(SUMPRODUCT(D4:E4,N$12:O$12)-b2_)</f>
        <v>0.5</v>
      </c>
      <c r="H4" s="6">
        <f>SUMPRODUCT(F4:G4,N$15:O$15)-b3_</f>
        <v>0</v>
      </c>
    </row>
    <row r="5" spans="1:16" ht="17" thickBot="1" x14ac:dyDescent="0.25">
      <c r="A5">
        <v>60</v>
      </c>
      <c r="B5" s="5">
        <v>0.86599999999999999</v>
      </c>
      <c r="C5" s="7">
        <f t="shared" si="0"/>
        <v>1.0471975511965976</v>
      </c>
      <c r="D5" cm="1">
        <f t="array" ref="D5">SIgmoid(C5*N$6-b1_)</f>
        <v>0.5</v>
      </c>
      <c r="E5" cm="1">
        <f t="array" ref="E5">SIgmoid(C5*O$6-b1_)</f>
        <v>0.5</v>
      </c>
      <c r="F5" cm="1">
        <f t="array" ref="F5">SIgmoid(SUMPRODUCT(D5:E5,N$9:O$9)-b2_)</f>
        <v>0.5</v>
      </c>
      <c r="G5" cm="1">
        <f t="array" ref="G5">SIgmoid(SUMPRODUCT(D5:E5,N$12:O$12)-b2_)</f>
        <v>0.5</v>
      </c>
      <c r="H5" s="6">
        <f>SUMPRODUCT(F5:G5,N$15:O$15)-b3_</f>
        <v>0</v>
      </c>
      <c r="N5" t="s">
        <v>2</v>
      </c>
      <c r="O5" t="s">
        <v>3</v>
      </c>
      <c r="P5" t="s">
        <v>10</v>
      </c>
    </row>
    <row r="6" spans="1:16" ht="17" thickBot="1" x14ac:dyDescent="0.25">
      <c r="A6">
        <v>90</v>
      </c>
      <c r="B6" s="5">
        <v>1</v>
      </c>
      <c r="C6" s="7">
        <f t="shared" si="0"/>
        <v>1.5707963267948966</v>
      </c>
      <c r="D6" cm="1">
        <f t="array" ref="D6">SIgmoid(C6*N$6-b1_)</f>
        <v>0.5</v>
      </c>
      <c r="E6" cm="1">
        <f t="array" ref="E6">SIgmoid(C6*O$6-b1_)</f>
        <v>0.5</v>
      </c>
      <c r="F6" cm="1">
        <f t="array" ref="F6">SIgmoid(SUMPRODUCT(D6:E6,N$9:O$9)-b2_)</f>
        <v>0.5</v>
      </c>
      <c r="G6" cm="1">
        <f t="array" ref="G6">SIgmoid(SUMPRODUCT(D6:E6,N$12:O$12)-b2_)</f>
        <v>0.5</v>
      </c>
      <c r="H6" s="6">
        <f>SUMPRODUCT(F6:G6,N$15:O$15)-b3_</f>
        <v>0</v>
      </c>
      <c r="N6" s="3">
        <v>0</v>
      </c>
      <c r="O6" s="3">
        <v>0</v>
      </c>
      <c r="P6" s="3">
        <v>0</v>
      </c>
    </row>
    <row r="8" spans="1:16" ht="17" thickBot="1" x14ac:dyDescent="0.25">
      <c r="N8" t="s">
        <v>4</v>
      </c>
      <c r="O8" t="s">
        <v>5</v>
      </c>
      <c r="P8" t="s">
        <v>11</v>
      </c>
    </row>
    <row r="9" spans="1:16" ht="17" thickBot="1" x14ac:dyDescent="0.25">
      <c r="N9" s="3">
        <v>0</v>
      </c>
      <c r="O9" s="3">
        <v>0</v>
      </c>
      <c r="P9" s="3">
        <v>0</v>
      </c>
    </row>
    <row r="10" spans="1:16" x14ac:dyDescent="0.2">
      <c r="H10" t="s">
        <v>20</v>
      </c>
      <c r="I10" t="s">
        <v>19</v>
      </c>
    </row>
    <row r="11" spans="1:16" ht="17" thickBot="1" x14ac:dyDescent="0.25">
      <c r="A11">
        <v>0</v>
      </c>
      <c r="B11" s="5">
        <v>1</v>
      </c>
      <c r="C11" s="7">
        <f t="shared" ref="C11:C20" si="1">RADIANS(A11)</f>
        <v>0</v>
      </c>
      <c r="D11" cm="1">
        <f t="array" ref="D11">SIgmoid(C11*N$6-b1_)</f>
        <v>0.5</v>
      </c>
      <c r="E11" cm="1">
        <f t="array" ref="E11">SIgmoid(C11*O$6-b1_)</f>
        <v>0.5</v>
      </c>
      <c r="F11" cm="1">
        <f t="array" ref="F11">SIgmoid(SUMPRODUCT(D11:E11,N$9:O$9)-b2_)</f>
        <v>0.5</v>
      </c>
      <c r="G11" cm="1">
        <f t="array" ref="G11">SIgmoid(SUMPRODUCT(D11:E11,N$12:O$12)-b2_)</f>
        <v>0.5</v>
      </c>
      <c r="H11" s="6">
        <f t="shared" ref="H11:H20" si="2">SUMPRODUCT(F11:G11,N$15:O$15)-b3_</f>
        <v>0</v>
      </c>
      <c r="I11">
        <f>SIN(C11)</f>
        <v>0</v>
      </c>
      <c r="N11" t="s">
        <v>6</v>
      </c>
      <c r="O11" t="s">
        <v>7</v>
      </c>
    </row>
    <row r="12" spans="1:16" ht="17" thickBot="1" x14ac:dyDescent="0.25">
      <c r="A12">
        <v>10</v>
      </c>
      <c r="C12" s="7">
        <f t="shared" si="1"/>
        <v>0.17453292519943295</v>
      </c>
      <c r="D12" cm="1">
        <f t="array" ref="D12">SIgmoid(C12*N$6-b1_)</f>
        <v>0.5</v>
      </c>
      <c r="E12" cm="1">
        <f t="array" ref="E12">SIgmoid(C12*O$6-b1_)</f>
        <v>0.5</v>
      </c>
      <c r="F12" cm="1">
        <f t="array" ref="F12">SIgmoid(SUMPRODUCT(D12:E12,N$9:O$9)-b2_)</f>
        <v>0.5</v>
      </c>
      <c r="G12" cm="1">
        <f t="array" ref="G12">SIgmoid(SUMPRODUCT(D12:E12,N$12:O$12)-b2_)</f>
        <v>0.5</v>
      </c>
      <c r="H12" s="6">
        <f t="shared" si="2"/>
        <v>0</v>
      </c>
      <c r="I12">
        <f t="shared" ref="I12:I20" si="3">SIN(C12)</f>
        <v>0.17364817766693033</v>
      </c>
      <c r="N12" s="3">
        <v>0</v>
      </c>
      <c r="O12" s="3">
        <v>0</v>
      </c>
    </row>
    <row r="13" spans="1:16" x14ac:dyDescent="0.2">
      <c r="A13">
        <v>20</v>
      </c>
      <c r="C13" s="7">
        <f t="shared" si="1"/>
        <v>0.3490658503988659</v>
      </c>
      <c r="D13" cm="1">
        <f t="array" ref="D13">SIgmoid(C13*N$6-b1_)</f>
        <v>0.5</v>
      </c>
      <c r="E13" cm="1">
        <f t="array" ref="E13">SIgmoid(C13*O$6-b1_)</f>
        <v>0.5</v>
      </c>
      <c r="F13" cm="1">
        <f t="array" ref="F13">SIgmoid(SUMPRODUCT(D13:E13,N$9:O$9)-b2_)</f>
        <v>0.5</v>
      </c>
      <c r="G13" cm="1">
        <f t="array" ref="G13">SIgmoid(SUMPRODUCT(D13:E13,N$12:O$12)-b2_)</f>
        <v>0.5</v>
      </c>
      <c r="H13" s="6">
        <f t="shared" si="2"/>
        <v>0</v>
      </c>
      <c r="I13">
        <f t="shared" si="3"/>
        <v>0.34202014332566871</v>
      </c>
    </row>
    <row r="14" spans="1:16" ht="17" thickBot="1" x14ac:dyDescent="0.25">
      <c r="A14">
        <v>30</v>
      </c>
      <c r="C14" s="7">
        <f t="shared" si="1"/>
        <v>0.52359877559829882</v>
      </c>
      <c r="D14" cm="1">
        <f t="array" ref="D14">SIgmoid(C14*N$6-b1_)</f>
        <v>0.5</v>
      </c>
      <c r="E14" cm="1">
        <f t="array" ref="E14">SIgmoid(C14*O$6-b1_)</f>
        <v>0.5</v>
      </c>
      <c r="F14" cm="1">
        <f t="array" ref="F14">SIgmoid(SUMPRODUCT(D14:E14,N$9:O$9)-b2_)</f>
        <v>0.5</v>
      </c>
      <c r="G14" cm="1">
        <f t="array" ref="G14">SIgmoid(SUMPRODUCT(D14:E14,N$12:O$12)-b2_)</f>
        <v>0.5</v>
      </c>
      <c r="H14" s="6">
        <f t="shared" si="2"/>
        <v>0</v>
      </c>
      <c r="I14">
        <f t="shared" si="3"/>
        <v>0.49999999999999994</v>
      </c>
      <c r="N14" t="s">
        <v>8</v>
      </c>
      <c r="O14" t="s">
        <v>9</v>
      </c>
      <c r="P14" t="s">
        <v>12</v>
      </c>
    </row>
    <row r="15" spans="1:16" ht="17" thickBot="1" x14ac:dyDescent="0.25">
      <c r="A15">
        <v>40</v>
      </c>
      <c r="C15" s="7">
        <f t="shared" si="1"/>
        <v>0.69813170079773179</v>
      </c>
      <c r="D15" cm="1">
        <f t="array" ref="D15">SIgmoid(C15*N$6-b1_)</f>
        <v>0.5</v>
      </c>
      <c r="E15" cm="1">
        <f t="array" ref="E15">SIgmoid(C15*O$6-b1_)</f>
        <v>0.5</v>
      </c>
      <c r="F15" cm="1">
        <f t="array" ref="F15">SIgmoid(SUMPRODUCT(D15:E15,N$9:O$9)-b2_)</f>
        <v>0.5</v>
      </c>
      <c r="G15" cm="1">
        <f t="array" ref="G15">SIgmoid(SUMPRODUCT(D15:E15,N$12:O$12)-b2_)</f>
        <v>0.5</v>
      </c>
      <c r="H15" s="6">
        <f t="shared" si="2"/>
        <v>0</v>
      </c>
      <c r="I15">
        <f t="shared" si="3"/>
        <v>0.64278760968653925</v>
      </c>
      <c r="N15" s="3">
        <v>0</v>
      </c>
      <c r="O15" s="3">
        <v>0</v>
      </c>
      <c r="P15" s="3">
        <v>0</v>
      </c>
    </row>
    <row r="16" spans="1:16" x14ac:dyDescent="0.2">
      <c r="A16">
        <v>50</v>
      </c>
      <c r="C16" s="7">
        <f t="shared" si="1"/>
        <v>0.87266462599716477</v>
      </c>
      <c r="D16" cm="1">
        <f t="array" ref="D16">SIgmoid(C16*N$6-b1_)</f>
        <v>0.5</v>
      </c>
      <c r="E16" cm="1">
        <f t="array" ref="E16">SIgmoid(C16*O$6-b1_)</f>
        <v>0.5</v>
      </c>
      <c r="F16" cm="1">
        <f t="array" ref="F16">SIgmoid(SUMPRODUCT(D16:E16,N$9:O$9)-b2_)</f>
        <v>0.5</v>
      </c>
      <c r="G16" cm="1">
        <f t="array" ref="G16">SIgmoid(SUMPRODUCT(D16:E16,N$12:O$12)-b2_)</f>
        <v>0.5</v>
      </c>
      <c r="H16" s="6">
        <f t="shared" si="2"/>
        <v>0</v>
      </c>
      <c r="I16">
        <f t="shared" si="3"/>
        <v>0.76604444311897801</v>
      </c>
    </row>
    <row r="17" spans="1:9" x14ac:dyDescent="0.2">
      <c r="A17">
        <v>60</v>
      </c>
      <c r="C17" s="7">
        <f t="shared" si="1"/>
        <v>1.0471975511965976</v>
      </c>
      <c r="D17" cm="1">
        <f t="array" ref="D17">SIgmoid(C17*N$6-b1_)</f>
        <v>0.5</v>
      </c>
      <c r="E17" cm="1">
        <f t="array" ref="E17">SIgmoid(C17*O$6-b1_)</f>
        <v>0.5</v>
      </c>
      <c r="F17" cm="1">
        <f t="array" ref="F17">SIgmoid(SUMPRODUCT(D17:E17,N$9:O$9)-b2_)</f>
        <v>0.5</v>
      </c>
      <c r="G17" cm="1">
        <f t="array" ref="G17">SIgmoid(SUMPRODUCT(D17:E17,N$12:O$12)-b2_)</f>
        <v>0.5</v>
      </c>
      <c r="H17" s="6">
        <f t="shared" si="2"/>
        <v>0</v>
      </c>
      <c r="I17">
        <f t="shared" si="3"/>
        <v>0.8660254037844386</v>
      </c>
    </row>
    <row r="18" spans="1:9" x14ac:dyDescent="0.2">
      <c r="A18">
        <v>70</v>
      </c>
      <c r="C18" s="7">
        <f t="shared" si="1"/>
        <v>1.2217304763960306</v>
      </c>
      <c r="D18" cm="1">
        <f t="array" ref="D18">SIgmoid(C18*N$6-b1_)</f>
        <v>0.5</v>
      </c>
      <c r="E18" cm="1">
        <f t="array" ref="E18">SIgmoid(C18*O$6-b1_)</f>
        <v>0.5</v>
      </c>
      <c r="F18" cm="1">
        <f t="array" ref="F18">SIgmoid(SUMPRODUCT(D18:E18,N$9:O$9)-b2_)</f>
        <v>0.5</v>
      </c>
      <c r="G18" cm="1">
        <f t="array" ref="G18">SIgmoid(SUMPRODUCT(D18:E18,N$12:O$12)-b2_)</f>
        <v>0.5</v>
      </c>
      <c r="H18" s="6">
        <f t="shared" si="2"/>
        <v>0</v>
      </c>
      <c r="I18">
        <f t="shared" si="3"/>
        <v>0.93969262078590832</v>
      </c>
    </row>
    <row r="19" spans="1:9" x14ac:dyDescent="0.2">
      <c r="A19">
        <v>80</v>
      </c>
      <c r="C19" s="7">
        <f t="shared" si="1"/>
        <v>1.3962634015954636</v>
      </c>
      <c r="D19" cm="1">
        <f t="array" ref="D19">SIgmoid(C19*N$6-b1_)</f>
        <v>0.5</v>
      </c>
      <c r="E19" cm="1">
        <f t="array" ref="E19">SIgmoid(C19*O$6-b1_)</f>
        <v>0.5</v>
      </c>
      <c r="F19" cm="1">
        <f t="array" ref="F19">SIgmoid(SUMPRODUCT(D19:E19,N$9:O$9)-b2_)</f>
        <v>0.5</v>
      </c>
      <c r="G19" cm="1">
        <f t="array" ref="G19">SIgmoid(SUMPRODUCT(D19:E19,N$12:O$12)-b2_)</f>
        <v>0.5</v>
      </c>
      <c r="H19" s="6">
        <f t="shared" si="2"/>
        <v>0</v>
      </c>
      <c r="I19">
        <f t="shared" si="3"/>
        <v>0.98480775301220802</v>
      </c>
    </row>
    <row r="20" spans="1:9" x14ac:dyDescent="0.2">
      <c r="A20">
        <v>90</v>
      </c>
      <c r="C20" s="7">
        <f t="shared" si="1"/>
        <v>1.5707963267948966</v>
      </c>
      <c r="D20" cm="1">
        <f t="array" ref="D20">SIgmoid(C20*N$6-b1_)</f>
        <v>0.5</v>
      </c>
      <c r="E20" cm="1">
        <f t="array" ref="E20">SIgmoid(C20*O$6-b1_)</f>
        <v>0.5</v>
      </c>
      <c r="F20" cm="1">
        <f t="array" ref="F20">SIgmoid(SUMPRODUCT(D20:E20,N$9:O$9)-b2_)</f>
        <v>0.5</v>
      </c>
      <c r="G20" cm="1">
        <f t="array" ref="G20">SIgmoid(SUMPRODUCT(D20:E20,N$12:O$12)-b2_)</f>
        <v>0.5</v>
      </c>
      <c r="H20" s="6">
        <f t="shared" si="2"/>
        <v>0</v>
      </c>
      <c r="I20">
        <f t="shared" si="3"/>
        <v>1</v>
      </c>
    </row>
  </sheetData>
  <pageMargins left="0.7" right="0.7" top="0.75" bottom="0.75" header="0.3" footer="0.3"/>
  <ignoredErrors>
    <ignoredError sqref="F2:F6 H2:H6" formulaRange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Hoja1</vt:lpstr>
      <vt:lpstr>b1_</vt:lpstr>
      <vt:lpstr>b2_</vt:lpstr>
      <vt:lpstr>b3_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2020-04-17T23:33:07Z</dcterms:created>
  <dcterms:modified xsi:type="dcterms:W3CDTF">2021-02-15T16:54:40Z</dcterms:modified>
</cp:coreProperties>
</file>